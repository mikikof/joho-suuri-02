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座標" sheetId="1" state="visible" r:id="rId1"/>
    <sheet xmlns:r="http://schemas.openxmlformats.org/officeDocument/2006/relationships" name="2_リスクリターン" sheetId="2" state="visible" r:id="rId2"/>
    <sheet xmlns:r="http://schemas.openxmlformats.org/officeDocument/2006/relationships" name="3_距離" sheetId="3" state="visible" r:id="rId3"/>
    <sheet xmlns:r="http://schemas.openxmlformats.org/officeDocument/2006/relationships" name="4_円" sheetId="4" state="visible" r:id="rId4"/>
    <sheet xmlns:r="http://schemas.openxmlformats.org/officeDocument/2006/relationships" name="5_領域" sheetId="5" state="visible" r:id="rId5"/>
    <sheet xmlns:r="http://schemas.openxmlformats.org/officeDocument/2006/relationships" name="6_類似度" sheetId="6" state="visible" r:id="rId6"/>
    <sheet xmlns:r="http://schemas.openxmlformats.org/officeDocument/2006/relationships" name="演習①_基本" sheetId="7" state="visible" r:id="rId7"/>
    <sheet xmlns:r="http://schemas.openxmlformats.org/officeDocument/2006/relationships" name="演習②_応用" sheetId="8" state="visible" r:id="rId8"/>
    <sheet xmlns:r="http://schemas.openxmlformats.org/officeDocument/2006/relationships" name="挑戦①_2 種類の距離" sheetId="9" state="visible" r:id="rId9"/>
    <sheet xmlns:r="http://schemas.openxmlformats.org/officeDocument/2006/relationships" name="挑戦②_最適立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FF1F2937"/>
      <sz val="18"/>
    </font>
    <font>
      <name val="Yu Gothic"/>
      <sz val="11"/>
    </font>
    <font>
      <name val="Yu Gothic"/>
      <b val="1"/>
      <color rgb="FF1F2937"/>
      <sz val="12"/>
    </font>
    <font>
      <name val="Consolas"/>
      <sz val="11"/>
    </font>
    <font>
      <name val="Yu Gothic"/>
      <b val="1"/>
      <color rgb="FF92400E"/>
      <sz val="12"/>
    </font>
    <font>
      <name val="Yu Gothic"/>
      <color rgb="FF422006"/>
      <sz val="11"/>
    </font>
    <font>
      <name val="Yu Gothic"/>
      <b val="1"/>
      <color rgb="FFE11D48"/>
      <sz val="11"/>
    </font>
    <font>
      <name val="Yu Gothic"/>
      <b val="1"/>
      <color rgb="FF1F2937"/>
      <sz val="14"/>
    </font>
    <font>
      <name val="Yu Gothic"/>
      <b val="1"/>
      <color rgb="FFFFFFFF"/>
      <sz val="12"/>
    </font>
    <font>
      <name val="Yu Gothic"/>
      <color rgb="FF6B7280"/>
      <sz val="10"/>
    </font>
  </fonts>
  <fills count="7">
    <fill>
      <patternFill/>
    </fill>
    <fill>
      <patternFill patternType="gray125"/>
    </fill>
    <fill>
      <patternFill patternType="solid">
        <fgColor rgb="FFF6F7F9"/>
      </patternFill>
    </fill>
    <fill>
      <patternFill patternType="solid">
        <fgColor rgb="FFEFF6FF"/>
      </patternFill>
    </fill>
    <fill>
      <patternFill patternType="solid">
        <fgColor rgb="FFFDE68A"/>
      </patternFill>
    </fill>
    <fill>
      <patternFill patternType="solid">
        <fgColor rgb="FFFEF3C7"/>
      </patternFill>
    </fill>
    <fill>
      <patternFill patternType="solid">
        <fgColor rgb="FF1F2937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4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3" customWidth="1" min="5" max="5"/>
    <col width="56" customWidth="1" min="6" max="6"/>
  </cols>
  <sheetData>
    <row r="1" ht="16" customHeight="1"/>
    <row r="2" ht="30" customHeight="1">
      <c r="B2" s="1" t="inlineStr">
        <is>
          <t>Part 1-1：座標 — 位置を 2 つの数で書く</t>
        </is>
      </c>
    </row>
    <row r="3" ht="8" customHeight="1"/>
    <row r="4">
      <c r="B4" s="2" t="inlineStr">
        <is>
          <t>【ストーリー】
駅 (0, 0) を原点として、街のお店を 2 つの数 (x, y) で並べてみよう。
  x = 駅から東に何 m（マイナスなら西）
  y = 駅から北に何 m（マイナスなら南）</t>
        </is>
      </c>
    </row>
    <row r="5"/>
    <row r="6"/>
    <row r="7"/>
    <row r="9">
      <c r="B9" s="3" t="inlineStr">
        <is>
          <t>店名</t>
        </is>
      </c>
      <c r="C9" s="3" t="inlineStr">
        <is>
          <t>x (m)</t>
        </is>
      </c>
      <c r="D9" s="3" t="inlineStr">
        <is>
          <t>y (m)</t>
        </is>
      </c>
      <c r="F9" s="4" t="inlineStr">
        <is>
          <t>▶  グラフを作る</t>
        </is>
      </c>
    </row>
    <row r="10">
      <c r="B10" s="5" t="inlineStr">
        <is>
          <t>駅 (原点)</t>
        </is>
      </c>
      <c r="C10" s="6" t="n">
        <v>0</v>
      </c>
      <c r="D10" s="6" t="n">
        <v>0</v>
      </c>
      <c r="F10" s="7" t="inlineStr">
        <is>
          <t>C9:D15 を選択 → メニュー [挿入] → [グラフ]。
[設定] タブで「グラフの種類」を「散布図」に変更。
6 軒のお店が、平面に点として並ぶ。</t>
        </is>
      </c>
    </row>
    <row r="11">
      <c r="B11" s="5" t="inlineStr">
        <is>
          <t>カフェ</t>
        </is>
      </c>
      <c r="C11" s="6" t="n">
        <v>200</v>
      </c>
      <c r="D11" s="6" t="n">
        <v>150</v>
      </c>
    </row>
    <row r="12">
      <c r="B12" s="5" t="inlineStr">
        <is>
          <t>コンビニ</t>
        </is>
      </c>
      <c r="C12" s="6" t="n">
        <v>-120</v>
      </c>
      <c r="D12" s="6" t="n">
        <v>80</v>
      </c>
    </row>
    <row r="13">
      <c r="B13" s="5" t="inlineStr">
        <is>
          <t>書店</t>
        </is>
      </c>
      <c r="C13" s="6" t="n">
        <v>350</v>
      </c>
      <c r="D13" s="6" t="n">
        <v>-200</v>
      </c>
    </row>
    <row r="14">
      <c r="B14" s="5" t="inlineStr">
        <is>
          <t>ジム</t>
        </is>
      </c>
      <c r="C14" s="6" t="n">
        <v>-300</v>
      </c>
      <c r="D14" s="6" t="n">
        <v>-100</v>
      </c>
    </row>
    <row r="15">
      <c r="B15" s="5" t="inlineStr">
        <is>
          <t>レストラン</t>
        </is>
      </c>
      <c r="C15" s="6" t="n">
        <v>50</v>
      </c>
      <c r="D15" s="6" t="n">
        <v>380</v>
      </c>
      <c r="F15" s="4" t="inlineStr">
        <is>
          <t>▶  軸を整える</t>
        </is>
      </c>
    </row>
    <row r="16">
      <c r="F16" s="7" t="inlineStr">
        <is>
          <t>グラフをダブルクリック → [カスタマイズ] → [横軸]：最小 -500、最大 500。
同じく [縦軸]：最小 -500、最大 500。
→ 駅 (原点) が中心の地図になる。</t>
        </is>
      </c>
    </row>
    <row r="17"/>
    <row r="18"/>
    <row r="19"/>
    <row r="21">
      <c r="F21" s="4" t="inlineStr">
        <is>
          <t>▶  自分の家を追加してみる</t>
        </is>
      </c>
    </row>
    <row r="22">
      <c r="F22" s="7" t="inlineStr">
        <is>
          <t>16 行目（B16, C16, D16）に好きな場所を書き加える。
例：B16「自分の家」、C16 = -200、D16 = 250。
グラフのデータ範囲を C9:D16 に広げると、点が増える。</t>
        </is>
      </c>
    </row>
    <row r="23"/>
    <row r="24"/>
    <row r="25"/>
  </sheetData>
  <mergeCells count="4">
    <mergeCell ref="F16:F19"/>
    <mergeCell ref="F22:F25"/>
    <mergeCell ref="B4:D7"/>
    <mergeCell ref="F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3" customWidth="1" min="5" max="5"/>
    <col width="56" customWidth="1" min="6" max="6"/>
  </cols>
  <sheetData>
    <row r="1" ht="16" customHeight="1"/>
    <row r="2" ht="30" customHeight="1">
      <c r="B2" s="1" t="inlineStr">
        <is>
          <t>Part 1-2：同じ発想を、お金の世界に</t>
        </is>
      </c>
    </row>
    <row r="3" ht="8" customHeight="1"/>
    <row r="4">
      <c r="B4" s="2" t="inlineStr">
        <is>
          <t>【ストーリー】
投資先を「リスク（変動の大きさ）」と「リターン（期待される儲け）」の 2 軸で並べる。
街のお店を地図に並べたのと、まったく同じ仕組み。</t>
        </is>
      </c>
    </row>
    <row r="5"/>
    <row r="6"/>
    <row r="7"/>
    <row r="9">
      <c r="B9" s="3" t="inlineStr">
        <is>
          <t>銘柄</t>
        </is>
      </c>
      <c r="C9" s="3" t="inlineStr">
        <is>
          <t>リスク</t>
        </is>
      </c>
      <c r="D9" s="3" t="inlineStr">
        <is>
          <t>リターン (%)</t>
        </is>
      </c>
      <c r="F9" s="4" t="inlineStr">
        <is>
          <t>▶  グラフを作る</t>
        </is>
      </c>
    </row>
    <row r="10">
      <c r="B10" s="5" t="inlineStr">
        <is>
          <t>国債</t>
        </is>
      </c>
      <c r="C10" s="6" t="n">
        <v>1</v>
      </c>
      <c r="D10" s="6" t="n">
        <v>0.5</v>
      </c>
      <c r="F10" s="7" t="inlineStr">
        <is>
          <t>C9:D14 を選択 → [挿入] → [グラフ] → グラフの種類を「散布図」に。
4 銘柄が平面に並ぶ。</t>
        </is>
      </c>
    </row>
    <row r="11">
      <c r="B11" s="5" t="inlineStr">
        <is>
          <t>日本株</t>
        </is>
      </c>
      <c r="C11" s="6" t="n">
        <v>15</v>
      </c>
      <c r="D11" s="6" t="n">
        <v>6</v>
      </c>
    </row>
    <row r="12">
      <c r="B12" s="5" t="inlineStr">
        <is>
          <t>新興国株</t>
        </is>
      </c>
      <c r="C12" s="6" t="n">
        <v>35</v>
      </c>
      <c r="D12" s="6" t="n">
        <v>12</v>
      </c>
    </row>
    <row r="13">
      <c r="B13" s="5" t="inlineStr">
        <is>
          <t>暗号資産</t>
        </is>
      </c>
      <c r="C13" s="6" t="n">
        <v>70</v>
      </c>
      <c r="D13" s="6" t="n">
        <v>25</v>
      </c>
    </row>
    <row r="14">
      <c r="F14" s="4" t="inlineStr">
        <is>
          <t>▶  「あなた」を別系列で追加</t>
        </is>
      </c>
    </row>
    <row r="15">
      <c r="B15" s="8" t="inlineStr">
        <is>
          <t>あなた</t>
        </is>
      </c>
      <c r="C15" s="9" t="n">
        <v>15</v>
      </c>
      <c r="D15" s="9" t="n">
        <v>6</v>
      </c>
      <c r="F15" s="7" t="inlineStr">
        <is>
          <t>グラフをダブルクリック → [設定] タブ。
[系列] の下にある「系列を追加」をクリック → 範囲 C15:D15。
色を変えるには [カスタマイズ] → [系列] →「あなた」を選択 → 色を指定。</t>
        </is>
      </c>
    </row>
    <row r="16"/>
    <row r="17"/>
    <row r="18"/>
    <row r="19"/>
    <row r="21">
      <c r="F21" s="4" t="inlineStr">
        <is>
          <t>▶  黄色を変えてみる</t>
        </is>
      </c>
    </row>
    <row r="22">
      <c r="F22" s="7" t="inlineStr">
        <is>
          <t>C15（あなたのリスク）と D15（あなたのリターン）を変える。
→ グラフ上の「あなた」の点が、銘柄に近づいたり離れたりする。</t>
        </is>
      </c>
    </row>
    <row r="23"/>
    <row r="24"/>
  </sheetData>
  <mergeCells count="4">
    <mergeCell ref="F22:F24"/>
    <mergeCell ref="F15:F19"/>
    <mergeCell ref="F10:F12"/>
    <mergeCell ref="B4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" customWidth="1" min="8" max="8"/>
    <col width="52" customWidth="1" min="9" max="9"/>
  </cols>
  <sheetData>
    <row r="1" ht="16" customHeight="1"/>
    <row r="2" ht="30" customHeight="1">
      <c r="B2" s="1" t="inlineStr">
        <is>
          <t>Part 2：2 点間の距離 = 三平方の定理</t>
        </is>
      </c>
    </row>
    <row r="3" ht="8" customHeight="1"/>
    <row r="4">
      <c r="B4" s="2" t="inlineStr">
        <is>
          <t>【ストーリー】
家 (0, 0) から、コンビニ A (3, 4) と銀行 B (6, 2) の ATM、どっちが近い？
単位は 100 m。三平方の定理で「斜めの距離」を計算しよう。</t>
        </is>
      </c>
    </row>
    <row r="5"/>
    <row r="6"/>
    <row r="7"/>
    <row r="9">
      <c r="B9" s="3" t="inlineStr">
        <is>
          <t>名前</t>
        </is>
      </c>
      <c r="C9" s="3" t="inlineStr">
        <is>
          <t>x</t>
        </is>
      </c>
      <c r="D9" s="3" t="inlineStr">
        <is>
          <t>y</t>
        </is>
      </c>
      <c r="E9" s="3" t="inlineStr">
        <is>
          <t>dx</t>
        </is>
      </c>
      <c r="F9" s="3" t="inlineStr">
        <is>
          <t>dy</t>
        </is>
      </c>
      <c r="G9" s="3" t="inlineStr">
        <is>
          <t>距離</t>
        </is>
      </c>
      <c r="I9" s="4" t="inlineStr">
        <is>
          <t>▶  黄色のセルをドラッグで埋める</t>
        </is>
      </c>
    </row>
    <row r="10">
      <c r="B10" s="5" t="inlineStr">
        <is>
          <t>家</t>
        </is>
      </c>
      <c r="C10" s="6" t="n">
        <v>0</v>
      </c>
      <c r="D10" s="6" t="n">
        <v>0</v>
      </c>
      <c r="E10" s="6" t="inlineStr">
        <is>
          <t>-</t>
        </is>
      </c>
      <c r="F10" s="6" t="inlineStr">
        <is>
          <t>-</t>
        </is>
      </c>
      <c r="G10" s="6" t="n">
        <v>0</v>
      </c>
      <c r="I10" s="7" t="inlineStr">
        <is>
          <t>E11:G11 を選択 → セル右下の青い四角（フィルハンドル）を G14 まで下へドラッグ。
→ 4 件すべての距離が一気に並ぶ。</t>
        </is>
      </c>
    </row>
    <row r="11">
      <c r="B11" s="5" t="inlineStr">
        <is>
          <t>コンビニ A</t>
        </is>
      </c>
      <c r="C11" s="6" t="n">
        <v>3</v>
      </c>
      <c r="D11" s="6" t="n">
        <v>4</v>
      </c>
      <c r="E11" s="10">
        <f>C11-$C$10</f>
        <v/>
      </c>
      <c r="F11" s="10">
        <f>D11-$D$10</f>
        <v/>
      </c>
      <c r="G11" s="10">
        <f>SQRT(E11^2+F11^2)</f>
        <v/>
      </c>
    </row>
    <row r="12">
      <c r="B12" s="5" t="inlineStr">
        <is>
          <t>銀行 B</t>
        </is>
      </c>
      <c r="C12" s="6" t="n">
        <v>6</v>
      </c>
      <c r="D12" s="6" t="n">
        <v>2</v>
      </c>
      <c r="E12" s="9" t="n"/>
      <c r="F12" s="9" t="n"/>
      <c r="G12" s="9" t="n"/>
    </row>
    <row r="13">
      <c r="B13" s="5" t="inlineStr">
        <is>
          <t>郵便局</t>
        </is>
      </c>
      <c r="C13" s="6" t="n">
        <v>-4</v>
      </c>
      <c r="D13" s="6" t="n">
        <v>3</v>
      </c>
      <c r="E13" s="9" t="n"/>
      <c r="F13" s="9" t="n"/>
      <c r="G13" s="9" t="n"/>
    </row>
    <row r="14">
      <c r="B14" s="5" t="inlineStr">
        <is>
          <t>スーパー</t>
        </is>
      </c>
      <c r="C14" s="6" t="n">
        <v>5</v>
      </c>
      <c r="D14" s="6" t="n">
        <v>-5</v>
      </c>
      <c r="E14" s="9" t="n"/>
      <c r="F14" s="9" t="n"/>
      <c r="G14" s="9" t="n"/>
    </row>
    <row r="15">
      <c r="I15" s="4" t="inlineStr">
        <is>
          <t>▶  最短距離と最近傍を確認</t>
        </is>
      </c>
    </row>
    <row r="16">
      <c r="B16" s="11" t="inlineStr">
        <is>
          <t>最短距離</t>
        </is>
      </c>
      <c r="D16" s="10">
        <f>MIN(G11:G14)</f>
        <v/>
      </c>
      <c r="I16" s="7" t="inlineStr">
        <is>
          <t>D16 と D17 に式が入っている。
MIN で最小距離、INDEX + MATCH でその名前を取る定石。</t>
        </is>
      </c>
    </row>
    <row r="17">
      <c r="B17" s="11" t="inlineStr">
        <is>
          <t>最も近いお店</t>
        </is>
      </c>
      <c r="D17" s="9">
        <f>INDEX(B11:B14,MATCH(D16,G11:G14,0))</f>
        <v/>
      </c>
    </row>
    <row r="18"/>
    <row r="20">
      <c r="I20" s="4" t="inlineStr">
        <is>
          <t>▶  家の位置を動かしてみる</t>
        </is>
      </c>
    </row>
    <row r="21">
      <c r="I21" s="7" t="inlineStr">
        <is>
          <t>C10 と D10 を変えると（例：(2, 1)）、4 件の距離も最近傍も連動して変わる。</t>
        </is>
      </c>
    </row>
    <row r="22"/>
    <row r="23"/>
  </sheetData>
  <mergeCells count="4">
    <mergeCell ref="I10:I13"/>
    <mergeCell ref="B4:G7"/>
    <mergeCell ref="I21:I23"/>
    <mergeCell ref="I16:I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56" customWidth="1" min="8" max="8"/>
  </cols>
  <sheetData>
    <row r="1" ht="16" customHeight="1"/>
    <row r="2" ht="30" customHeight="1">
      <c r="B2" s="1" t="inlineStr">
        <is>
          <t>Part 3：円 = 等距離の点を集めたもの</t>
        </is>
      </c>
    </row>
    <row r="3" ht="8" customHeight="1"/>
    <row r="4">
      <c r="B4" s="2" t="inlineStr">
        <is>
          <t>【ストーリー】
半径 5 の円を描く。「方程式 x² + y² = 25 を満たす点」を集めると円になる。
上半分（y ≥ 0）と下半分（y ≤ 0）に分けて、x を細かく動かしながら y を計算する。</t>
        </is>
      </c>
    </row>
    <row r="5"/>
    <row r="6"/>
    <row r="7"/>
    <row r="9">
      <c r="B9" s="11" t="inlineStr">
        <is>
          <t>中心 a</t>
        </is>
      </c>
      <c r="C9" s="9" t="n">
        <v>0</v>
      </c>
      <c r="D9" s="11" t="inlineStr">
        <is>
          <t>中心 b</t>
        </is>
      </c>
      <c r="E9" s="9" t="n">
        <v>0</v>
      </c>
      <c r="F9" s="11" t="inlineStr">
        <is>
          <t>半径 r</t>
        </is>
      </c>
      <c r="G9" s="9" t="n">
        <v>5</v>
      </c>
      <c r="H9" s="4" t="inlineStr">
        <is>
          <t>▶  式の意味を読む</t>
        </is>
      </c>
    </row>
    <row r="10">
      <c r="H10" s="7" t="inlineStr">
        <is>
          <t>方程式  (x − a)² + (y − b)² = r²  を y について解くと：
   y = b ± √(r² − (x − a)²)
＋が上半（C 列）、−が下半（D 列）。</t>
        </is>
      </c>
    </row>
    <row r="11">
      <c r="B11" s="3" t="inlineStr">
        <is>
          <t>x</t>
        </is>
      </c>
      <c r="C11" s="3" t="inlineStr">
        <is>
          <t>y 上半</t>
        </is>
      </c>
      <c r="D11" s="3" t="inlineStr">
        <is>
          <t>y 下半</t>
        </is>
      </c>
    </row>
    <row r="12">
      <c r="B12" s="6" t="n">
        <v>-5</v>
      </c>
      <c r="C12" s="10">
        <f>$E$9+SQRT(MAX(0,$G$9^2-(B12-$C$9)^2))</f>
        <v/>
      </c>
      <c r="D12" s="10">
        <f>$E$9-SQRT(MAX(0,$G$9^2-(B12-$C$9)^2))</f>
        <v/>
      </c>
    </row>
    <row r="13">
      <c r="B13" s="6" t="n">
        <v>-4.75</v>
      </c>
      <c r="C13" s="10">
        <f>$E$9+SQRT(MAX(0,$G$9^2-(B13-$C$9)^2))</f>
        <v/>
      </c>
      <c r="D13" s="10">
        <f>$E$9-SQRT(MAX(0,$G$9^2-(B13-$C$9)^2))</f>
        <v/>
      </c>
    </row>
    <row r="14">
      <c r="B14" s="6" t="n">
        <v>-4.5</v>
      </c>
      <c r="C14" s="10">
        <f>$E$9+SQRT(MAX(0,$G$9^2-(B14-$C$9)^2))</f>
        <v/>
      </c>
      <c r="D14" s="10">
        <f>$E$9-SQRT(MAX(0,$G$9^2-(B14-$C$9)^2))</f>
        <v/>
      </c>
    </row>
    <row r="15">
      <c r="B15" s="6" t="n">
        <v>-4.25</v>
      </c>
      <c r="C15" s="10">
        <f>$E$9+SQRT(MAX(0,$G$9^2-(B15-$C$9)^2))</f>
        <v/>
      </c>
      <c r="D15" s="10">
        <f>$E$9-SQRT(MAX(0,$G$9^2-(B15-$C$9)^2))</f>
        <v/>
      </c>
      <c r="H15" s="4" t="inlineStr">
        <is>
          <t>▶  グラフを作る → 線で結ぶ</t>
        </is>
      </c>
    </row>
    <row r="16">
      <c r="B16" s="6" t="n">
        <v>-4</v>
      </c>
      <c r="C16" s="10">
        <f>$E$9+SQRT(MAX(0,$G$9^2-(B16-$C$9)^2))</f>
        <v/>
      </c>
      <c r="D16" s="10">
        <f>$E$9-SQRT(MAX(0,$G$9^2-(B16-$C$9)^2))</f>
        <v/>
      </c>
      <c r="H16" s="7" t="inlineStr">
        <is>
          <t>① B11:D52 を選択 → [挿入] → [グラフ] → 「散布図」に変更。
② グラフをダブルクリック → [カスタマイズ] → [系列] →
   各系列で「データポイントを線で結ぶ」にチェック（上半・下半 両方）。
→ 上半・下半が線でつながり、円になる。</t>
        </is>
      </c>
    </row>
    <row r="17">
      <c r="B17" s="6" t="n">
        <v>-3.75</v>
      </c>
      <c r="C17" s="10">
        <f>$E$9+SQRT(MAX(0,$G$9^2-(B17-$C$9)^2))</f>
        <v/>
      </c>
      <c r="D17" s="10">
        <f>$E$9-SQRT(MAX(0,$G$9^2-(B17-$C$9)^2))</f>
        <v/>
      </c>
    </row>
    <row r="18">
      <c r="B18" s="6" t="n">
        <v>-3.5</v>
      </c>
      <c r="C18" s="10">
        <f>$E$9+SQRT(MAX(0,$G$9^2-(B18-$C$9)^2))</f>
        <v/>
      </c>
      <c r="D18" s="10">
        <f>$E$9-SQRT(MAX(0,$G$9^2-(B18-$C$9)^2))</f>
        <v/>
      </c>
    </row>
    <row r="19">
      <c r="B19" s="6" t="n">
        <v>-3.25</v>
      </c>
      <c r="C19" s="10">
        <f>$E$9+SQRT(MAX(0,$G$9^2-(B19-$C$9)^2))</f>
        <v/>
      </c>
      <c r="D19" s="10">
        <f>$E$9-SQRT(MAX(0,$G$9^2-(B19-$C$9)^2))</f>
        <v/>
      </c>
    </row>
    <row r="20">
      <c r="B20" s="6" t="n">
        <v>-3</v>
      </c>
      <c r="C20" s="10">
        <f>$E$9+SQRT(MAX(0,$G$9^2-(B20-$C$9)^2))</f>
        <v/>
      </c>
      <c r="D20" s="10">
        <f>$E$9-SQRT(MAX(0,$G$9^2-(B20-$C$9)^2))</f>
        <v/>
      </c>
    </row>
    <row r="21">
      <c r="B21" s="6" t="n">
        <v>-2.75</v>
      </c>
      <c r="C21" s="10">
        <f>$E$9+SQRT(MAX(0,$G$9^2-(B21-$C$9)^2))</f>
        <v/>
      </c>
      <c r="D21" s="10">
        <f>$E$9-SQRT(MAX(0,$G$9^2-(B21-$C$9)^2))</f>
        <v/>
      </c>
    </row>
    <row r="22">
      <c r="B22" s="6" t="n">
        <v>-2.5</v>
      </c>
      <c r="C22" s="10">
        <f>$E$9+SQRT(MAX(0,$G$9^2-(B22-$C$9)^2))</f>
        <v/>
      </c>
      <c r="D22" s="10">
        <f>$E$9-SQRT(MAX(0,$G$9^2-(B22-$C$9)^2))</f>
        <v/>
      </c>
    </row>
    <row r="23">
      <c r="B23" s="6" t="n">
        <v>-2.25</v>
      </c>
      <c r="C23" s="10">
        <f>$E$9+SQRT(MAX(0,$G$9^2-(B23-$C$9)^2))</f>
        <v/>
      </c>
      <c r="D23" s="10">
        <f>$E$9-SQRT(MAX(0,$G$9^2-(B23-$C$9)^2))</f>
        <v/>
      </c>
      <c r="H23" s="4" t="inlineStr">
        <is>
          <t>▶  軸を等しくして真円にする</t>
        </is>
      </c>
    </row>
    <row r="24">
      <c r="B24" s="6" t="n">
        <v>-2</v>
      </c>
      <c r="C24" s="10">
        <f>$E$9+SQRT(MAX(0,$G$9^2-(B24-$C$9)^2))</f>
        <v/>
      </c>
      <c r="D24" s="10">
        <f>$E$9-SQRT(MAX(0,$G$9^2-(B24-$C$9)^2))</f>
        <v/>
      </c>
      <c r="H24" s="7" t="inlineStr">
        <is>
          <t>[カスタマイズ] → [横軸] 最小 -10、最大 10。
[縦軸] も -10〜10 に。
グラフの枠を正方形に近づけると、楕円ではなく真円に見える。</t>
        </is>
      </c>
    </row>
    <row r="25">
      <c r="B25" s="6" t="n">
        <v>-1.75</v>
      </c>
      <c r="C25" s="10">
        <f>$E$9+SQRT(MAX(0,$G$9^2-(B25-$C$9)^2))</f>
        <v/>
      </c>
      <c r="D25" s="10">
        <f>$E$9-SQRT(MAX(0,$G$9^2-(B25-$C$9)^2))</f>
        <v/>
      </c>
    </row>
    <row r="26">
      <c r="B26" s="6" t="n">
        <v>-1.5</v>
      </c>
      <c r="C26" s="10">
        <f>$E$9+SQRT(MAX(0,$G$9^2-(B26-$C$9)^2))</f>
        <v/>
      </c>
      <c r="D26" s="10">
        <f>$E$9-SQRT(MAX(0,$G$9^2-(B26-$C$9)^2))</f>
        <v/>
      </c>
    </row>
    <row r="27">
      <c r="B27" s="6" t="n">
        <v>-1.25</v>
      </c>
      <c r="C27" s="10">
        <f>$E$9+SQRT(MAX(0,$G$9^2-(B27-$C$9)^2))</f>
        <v/>
      </c>
      <c r="D27" s="10">
        <f>$E$9-SQRT(MAX(0,$G$9^2-(B27-$C$9)^2))</f>
        <v/>
      </c>
    </row>
    <row r="28">
      <c r="B28" s="6" t="n">
        <v>-1</v>
      </c>
      <c r="C28" s="10">
        <f>$E$9+SQRT(MAX(0,$G$9^2-(B28-$C$9)^2))</f>
        <v/>
      </c>
      <c r="D28" s="10">
        <f>$E$9-SQRT(MAX(0,$G$9^2-(B28-$C$9)^2))</f>
        <v/>
      </c>
    </row>
    <row r="29">
      <c r="B29" s="6" t="n">
        <v>-0.75</v>
      </c>
      <c r="C29" s="10">
        <f>$E$9+SQRT(MAX(0,$G$9^2-(B29-$C$9)^2))</f>
        <v/>
      </c>
      <c r="D29" s="10">
        <f>$E$9-SQRT(MAX(0,$G$9^2-(B29-$C$9)^2))</f>
        <v/>
      </c>
      <c r="H29" s="4" t="inlineStr">
        <is>
          <t>▶  中心と半径を動かしてみる</t>
        </is>
      </c>
    </row>
    <row r="30">
      <c r="B30" s="6" t="n">
        <v>-0.5</v>
      </c>
      <c r="C30" s="10">
        <f>$E$9+SQRT(MAX(0,$G$9^2-(B30-$C$9)^2))</f>
        <v/>
      </c>
      <c r="D30" s="10">
        <f>$E$9-SQRT(MAX(0,$G$9^2-(B30-$C$9)^2))</f>
        <v/>
      </c>
      <c r="H30" s="7" t="inlineStr">
        <is>
          <t>C9 = 2、E9 = 1、G9 = 4 にすると、中心 (2, 1)、半径 4 の円。
方程式の数字を変えるだけで、図形が動く。</t>
        </is>
      </c>
    </row>
    <row r="31">
      <c r="B31" s="6" t="n">
        <v>-0.25</v>
      </c>
      <c r="C31" s="10">
        <f>$E$9+SQRT(MAX(0,$G$9^2-(B31-$C$9)^2))</f>
        <v/>
      </c>
      <c r="D31" s="10">
        <f>$E$9-SQRT(MAX(0,$G$9^2-(B31-$C$9)^2))</f>
        <v/>
      </c>
    </row>
    <row r="32">
      <c r="B32" s="6" t="n">
        <v>0</v>
      </c>
      <c r="C32" s="10">
        <f>$E$9+SQRT(MAX(0,$G$9^2-(B32-$C$9)^2))</f>
        <v/>
      </c>
      <c r="D32" s="10">
        <f>$E$9-SQRT(MAX(0,$G$9^2-(B32-$C$9)^2))</f>
        <v/>
      </c>
    </row>
    <row r="33">
      <c r="B33" s="6" t="n">
        <v>0.25</v>
      </c>
      <c r="C33" s="10">
        <f>$E$9+SQRT(MAX(0,$G$9^2-(B33-$C$9)^2))</f>
        <v/>
      </c>
      <c r="D33" s="10">
        <f>$E$9-SQRT(MAX(0,$G$9^2-(B33-$C$9)^2))</f>
        <v/>
      </c>
    </row>
    <row r="34">
      <c r="B34" s="6" t="n">
        <v>0.5</v>
      </c>
      <c r="C34" s="10">
        <f>$E$9+SQRT(MAX(0,$G$9^2-(B34-$C$9)^2))</f>
        <v/>
      </c>
      <c r="D34" s="10">
        <f>$E$9-SQRT(MAX(0,$G$9^2-(B34-$C$9)^2))</f>
        <v/>
      </c>
    </row>
    <row r="35">
      <c r="B35" s="6" t="n">
        <v>0.75</v>
      </c>
      <c r="C35" s="10">
        <f>$E$9+SQRT(MAX(0,$G$9^2-(B35-$C$9)^2))</f>
        <v/>
      </c>
      <c r="D35" s="10">
        <f>$E$9-SQRT(MAX(0,$G$9^2-(B35-$C$9)^2))</f>
        <v/>
      </c>
    </row>
    <row r="36">
      <c r="B36" s="6" t="n">
        <v>1</v>
      </c>
      <c r="C36" s="10">
        <f>$E$9+SQRT(MAX(0,$G$9^2-(B36-$C$9)^2))</f>
        <v/>
      </c>
      <c r="D36" s="10">
        <f>$E$9-SQRT(MAX(0,$G$9^2-(B36-$C$9)^2))</f>
        <v/>
      </c>
    </row>
    <row r="37">
      <c r="B37" s="6" t="n">
        <v>1.25</v>
      </c>
      <c r="C37" s="10">
        <f>$E$9+SQRT(MAX(0,$G$9^2-(B37-$C$9)^2))</f>
        <v/>
      </c>
      <c r="D37" s="10">
        <f>$E$9-SQRT(MAX(0,$G$9^2-(B37-$C$9)^2))</f>
        <v/>
      </c>
    </row>
    <row r="38">
      <c r="B38" s="6" t="n">
        <v>1.5</v>
      </c>
      <c r="C38" s="10">
        <f>$E$9+SQRT(MAX(0,$G$9^2-(B38-$C$9)^2))</f>
        <v/>
      </c>
      <c r="D38" s="10">
        <f>$E$9-SQRT(MAX(0,$G$9^2-(B38-$C$9)^2))</f>
        <v/>
      </c>
    </row>
    <row r="39">
      <c r="B39" s="6" t="n">
        <v>1.75</v>
      </c>
      <c r="C39" s="10">
        <f>$E$9+SQRT(MAX(0,$G$9^2-(B39-$C$9)^2))</f>
        <v/>
      </c>
      <c r="D39" s="10">
        <f>$E$9-SQRT(MAX(0,$G$9^2-(B39-$C$9)^2))</f>
        <v/>
      </c>
    </row>
    <row r="40">
      <c r="B40" s="6" t="n">
        <v>2</v>
      </c>
      <c r="C40" s="10">
        <f>$E$9+SQRT(MAX(0,$G$9^2-(B40-$C$9)^2))</f>
        <v/>
      </c>
      <c r="D40" s="10">
        <f>$E$9-SQRT(MAX(0,$G$9^2-(B40-$C$9)^2))</f>
        <v/>
      </c>
    </row>
    <row r="41">
      <c r="B41" s="6" t="n">
        <v>2.25</v>
      </c>
      <c r="C41" s="10">
        <f>$E$9+SQRT(MAX(0,$G$9^2-(B41-$C$9)^2))</f>
        <v/>
      </c>
      <c r="D41" s="10">
        <f>$E$9-SQRT(MAX(0,$G$9^2-(B41-$C$9)^2))</f>
        <v/>
      </c>
    </row>
    <row r="42">
      <c r="B42" s="6" t="n">
        <v>2.5</v>
      </c>
      <c r="C42" s="10">
        <f>$E$9+SQRT(MAX(0,$G$9^2-(B42-$C$9)^2))</f>
        <v/>
      </c>
      <c r="D42" s="10">
        <f>$E$9-SQRT(MAX(0,$G$9^2-(B42-$C$9)^2))</f>
        <v/>
      </c>
    </row>
    <row r="43">
      <c r="B43" s="6" t="n">
        <v>2.75</v>
      </c>
      <c r="C43" s="10">
        <f>$E$9+SQRT(MAX(0,$G$9^2-(B43-$C$9)^2))</f>
        <v/>
      </c>
      <c r="D43" s="10">
        <f>$E$9-SQRT(MAX(0,$G$9^2-(B43-$C$9)^2))</f>
        <v/>
      </c>
    </row>
    <row r="44">
      <c r="B44" s="6" t="n">
        <v>3</v>
      </c>
      <c r="C44" s="10">
        <f>$E$9+SQRT(MAX(0,$G$9^2-(B44-$C$9)^2))</f>
        <v/>
      </c>
      <c r="D44" s="10">
        <f>$E$9-SQRT(MAX(0,$G$9^2-(B44-$C$9)^2))</f>
        <v/>
      </c>
    </row>
    <row r="45">
      <c r="B45" s="6" t="n">
        <v>3.25</v>
      </c>
      <c r="C45" s="10">
        <f>$E$9+SQRT(MAX(0,$G$9^2-(B45-$C$9)^2))</f>
        <v/>
      </c>
      <c r="D45" s="10">
        <f>$E$9-SQRT(MAX(0,$G$9^2-(B45-$C$9)^2))</f>
        <v/>
      </c>
    </row>
    <row r="46">
      <c r="B46" s="6" t="n">
        <v>3.5</v>
      </c>
      <c r="C46" s="10">
        <f>$E$9+SQRT(MAX(0,$G$9^2-(B46-$C$9)^2))</f>
        <v/>
      </c>
      <c r="D46" s="10">
        <f>$E$9-SQRT(MAX(0,$G$9^2-(B46-$C$9)^2))</f>
        <v/>
      </c>
    </row>
    <row r="47">
      <c r="B47" s="6" t="n">
        <v>3.75</v>
      </c>
      <c r="C47" s="10">
        <f>$E$9+SQRT(MAX(0,$G$9^2-(B47-$C$9)^2))</f>
        <v/>
      </c>
      <c r="D47" s="10">
        <f>$E$9-SQRT(MAX(0,$G$9^2-(B47-$C$9)^2))</f>
        <v/>
      </c>
    </row>
    <row r="48">
      <c r="B48" s="6" t="n">
        <v>4</v>
      </c>
      <c r="C48" s="10">
        <f>$E$9+SQRT(MAX(0,$G$9^2-(B48-$C$9)^2))</f>
        <v/>
      </c>
      <c r="D48" s="10">
        <f>$E$9-SQRT(MAX(0,$G$9^2-(B48-$C$9)^2))</f>
        <v/>
      </c>
    </row>
    <row r="49">
      <c r="B49" s="6" t="n">
        <v>4.25</v>
      </c>
      <c r="C49" s="10">
        <f>$E$9+SQRT(MAX(0,$G$9^2-(B49-$C$9)^2))</f>
        <v/>
      </c>
      <c r="D49" s="10">
        <f>$E$9-SQRT(MAX(0,$G$9^2-(B49-$C$9)^2))</f>
        <v/>
      </c>
    </row>
    <row r="50">
      <c r="B50" s="6" t="n">
        <v>4.5</v>
      </c>
      <c r="C50" s="10">
        <f>$E$9+SQRT(MAX(0,$G$9^2-(B50-$C$9)^2))</f>
        <v/>
      </c>
      <c r="D50" s="10">
        <f>$E$9-SQRT(MAX(0,$G$9^2-(B50-$C$9)^2))</f>
        <v/>
      </c>
    </row>
    <row r="51">
      <c r="B51" s="6" t="n">
        <v>4.75</v>
      </c>
      <c r="C51" s="10">
        <f>$E$9+SQRT(MAX(0,$G$9^2-(B51-$C$9)^2))</f>
        <v/>
      </c>
      <c r="D51" s="10">
        <f>$E$9-SQRT(MAX(0,$G$9^2-(B51-$C$9)^2))</f>
        <v/>
      </c>
    </row>
    <row r="52">
      <c r="B52" s="6" t="n">
        <v>5</v>
      </c>
      <c r="C52" s="10">
        <f>$E$9+SQRT(MAX(0,$G$9^2-(B52-$C$9)^2))</f>
        <v/>
      </c>
      <c r="D52" s="10">
        <f>$E$9-SQRT(MAX(0,$G$9^2-(B52-$C$9)^2))</f>
        <v/>
      </c>
    </row>
  </sheetData>
  <mergeCells count="5">
    <mergeCell ref="B4:F7"/>
    <mergeCell ref="H30:H32"/>
    <mergeCell ref="H10:H13"/>
    <mergeCell ref="H24:H27"/>
    <mergeCell ref="H16:H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3" customWidth="1" min="7" max="7"/>
    <col width="56" customWidth="1" min="8" max="8"/>
  </cols>
  <sheetData>
    <row r="1" ht="16" customHeight="1"/>
    <row r="2" ht="30" customHeight="1">
      <c r="B2" s="1" t="inlineStr">
        <is>
          <t>Part 4：領域 = 不等号で内・外を分ける</t>
        </is>
      </c>
    </row>
    <row r="3" ht="8" customHeight="1"/>
    <row r="4">
      <c r="B4" s="2" t="inlineStr">
        <is>
          <t>【ストーリー】
家を中心に、半径 r の徒歩 5 分圏（500 m）。
10 軒のお店のうち、何軒が圏内？  IF 関数で内・上・外を一発判定。</t>
        </is>
      </c>
    </row>
    <row r="5"/>
    <row r="6"/>
    <row r="7"/>
    <row r="9">
      <c r="B9" s="11" t="inlineStr">
        <is>
          <t>半径 r</t>
        </is>
      </c>
      <c r="C9" s="9" t="n">
        <v>5</v>
      </c>
      <c r="D9" s="11" t="inlineStr">
        <is>
          <t>半径 ²</t>
        </is>
      </c>
      <c r="E9" s="12">
        <f>C9^2</f>
        <v/>
      </c>
      <c r="H9" s="4" t="inlineStr">
        <is>
          <t>▶  判定式を読む</t>
        </is>
      </c>
    </row>
    <row r="10">
      <c r="H10" s="7" t="inlineStr">
        <is>
          <t>F12 = =IF(E12&lt;$E$9, "内", IF(E12=$E$9, "上", "外"))
x²+y² と r² を比べて 3 段階に判定。
距離そのもの（SQRT）を取らなくても、順序は同じ。</t>
        </is>
      </c>
    </row>
    <row r="11">
      <c r="B11" s="3" t="inlineStr">
        <is>
          <t>店名</t>
        </is>
      </c>
      <c r="C11" s="3" t="inlineStr">
        <is>
          <t>x</t>
        </is>
      </c>
      <c r="D11" s="3" t="inlineStr">
        <is>
          <t>y</t>
        </is>
      </c>
      <c r="E11" s="3" t="inlineStr">
        <is>
          <t>x²+y²</t>
        </is>
      </c>
      <c r="F11" s="3" t="inlineStr">
        <is>
          <t>判定</t>
        </is>
      </c>
    </row>
    <row r="12">
      <c r="B12" s="5" t="inlineStr">
        <is>
          <t>カフェ A</t>
        </is>
      </c>
      <c r="C12" s="6" t="n">
        <v>2</v>
      </c>
      <c r="D12" s="6" t="n">
        <v>3</v>
      </c>
      <c r="E12" s="12">
        <f>C12^2+D12^2</f>
        <v/>
      </c>
      <c r="F12" s="9">
        <f>IF(E12&lt;$E$9,"内",IF(E12=$E$9,"上","外"))</f>
        <v/>
      </c>
    </row>
    <row r="13">
      <c r="B13" s="5" t="inlineStr">
        <is>
          <t>コンビニ</t>
        </is>
      </c>
      <c r="C13" s="6" t="n">
        <v>4</v>
      </c>
      <c r="D13" s="6" t="n">
        <v>4</v>
      </c>
      <c r="E13" s="12">
        <f>C13^2+D13^2</f>
        <v/>
      </c>
      <c r="F13" s="9">
        <f>IF(E13&lt;$E$9,"内",IF(E13=$E$9,"上","外"))</f>
        <v/>
      </c>
    </row>
    <row r="14">
      <c r="B14" s="5" t="inlineStr">
        <is>
          <t>書店</t>
        </is>
      </c>
      <c r="C14" s="6" t="n">
        <v>-3</v>
      </c>
      <c r="D14" s="6" t="n">
        <v>-2</v>
      </c>
      <c r="E14" s="12">
        <f>C14^2+D14^2</f>
        <v/>
      </c>
      <c r="F14" s="9">
        <f>IF(E14&lt;$E$9,"内",IF(E14=$E$9,"上","外"))</f>
        <v/>
      </c>
    </row>
    <row r="15">
      <c r="B15" s="5" t="inlineStr">
        <is>
          <t>ジム</t>
        </is>
      </c>
      <c r="C15" s="6" t="n">
        <v>6</v>
      </c>
      <c r="D15" s="6" t="n">
        <v>1</v>
      </c>
      <c r="E15" s="12">
        <f>C15^2+D15^2</f>
        <v/>
      </c>
      <c r="F15" s="9">
        <f>IF(E15&lt;$E$9,"内",IF(E15=$E$9,"上","外"))</f>
        <v/>
      </c>
      <c r="H15" s="4" t="inlineStr">
        <is>
          <t>▶  何軒が圏内かを数える</t>
        </is>
      </c>
    </row>
    <row r="16">
      <c r="B16" s="5" t="inlineStr">
        <is>
          <t>レストラン</t>
        </is>
      </c>
      <c r="C16" s="6" t="n">
        <v>-4</v>
      </c>
      <c r="D16" s="6" t="n">
        <v>4</v>
      </c>
      <c r="E16" s="12">
        <f>C16^2+D16^2</f>
        <v/>
      </c>
      <c r="F16" s="9">
        <f>IF(E16&lt;$E$9,"内",IF(E16=$E$9,"上","外"))</f>
        <v/>
      </c>
      <c r="H16" s="7" t="inlineStr">
        <is>
          <t>D23 = =COUNTIF(F12:F21, "内")
→「内」と書かれたセルが何個あるか。</t>
        </is>
      </c>
    </row>
    <row r="17">
      <c r="B17" s="5" t="inlineStr">
        <is>
          <t>郵便局</t>
        </is>
      </c>
      <c r="C17" s="6" t="n">
        <v>1</v>
      </c>
      <c r="D17" s="6" t="n">
        <v>-2</v>
      </c>
      <c r="E17" s="12">
        <f>C17^2+D17^2</f>
        <v/>
      </c>
      <c r="F17" s="9">
        <f>IF(E17&lt;$E$9,"内",IF(E17=$E$9,"上","外"))</f>
        <v/>
      </c>
    </row>
    <row r="18">
      <c r="B18" s="5" t="inlineStr">
        <is>
          <t>銀行</t>
        </is>
      </c>
      <c r="C18" s="6" t="n">
        <v>5</v>
      </c>
      <c r="D18" s="6" t="n">
        <v>-5</v>
      </c>
      <c r="E18" s="12">
        <f>C18^2+D18^2</f>
        <v/>
      </c>
      <c r="F18" s="9">
        <f>IF(E18&lt;$E$9,"内",IF(E18=$E$9,"上","外"))</f>
        <v/>
      </c>
    </row>
    <row r="19">
      <c r="B19" s="5" t="inlineStr">
        <is>
          <t>スーパー</t>
        </is>
      </c>
      <c r="C19" s="6" t="n">
        <v>-6</v>
      </c>
      <c r="D19" s="6" t="n">
        <v>0</v>
      </c>
      <c r="E19" s="12">
        <f>C19^2+D19^2</f>
        <v/>
      </c>
      <c r="F19" s="9">
        <f>IF(E19&lt;$E$9,"内",IF(E19=$E$9,"上","外"))</f>
        <v/>
      </c>
    </row>
    <row r="20">
      <c r="B20" s="5" t="inlineStr">
        <is>
          <t>ドラッグストア</t>
        </is>
      </c>
      <c r="C20" s="6" t="n">
        <v>3</v>
      </c>
      <c r="D20" s="6" t="n">
        <v>-3</v>
      </c>
      <c r="E20" s="12">
        <f>C20^2+D20^2</f>
        <v/>
      </c>
      <c r="F20" s="9">
        <f>IF(E20&lt;$E$9,"内",IF(E20=$E$9,"上","外"))</f>
        <v/>
      </c>
      <c r="H20" s="4" t="inlineStr">
        <is>
          <t>▶  「内」だけにフィルタする</t>
        </is>
      </c>
    </row>
    <row r="21">
      <c r="B21" s="5" t="inlineStr">
        <is>
          <t>100 円ショップ</t>
        </is>
      </c>
      <c r="C21" s="6" t="n">
        <v>-1</v>
      </c>
      <c r="D21" s="6" t="n">
        <v>1</v>
      </c>
      <c r="E21" s="12">
        <f>C21^2+D21^2</f>
        <v/>
      </c>
      <c r="F21" s="9">
        <f>IF(E21&lt;$E$9,"内",IF(E21=$E$9,"上","外"))</f>
        <v/>
      </c>
      <c r="H21" s="7" t="inlineStr">
        <is>
          <t>B11:F21 を選択 → メニュー [データ] → [フィルタを作成]。
F 列の▼で「内」のみにチェック → 圏内のお店リスト完成。
（解除：[データ] → [フィルタを削除]）</t>
        </is>
      </c>
    </row>
    <row r="22"/>
    <row r="23">
      <c r="B23" s="11" t="inlineStr">
        <is>
          <t>徒歩 5 分圏内の店数</t>
        </is>
      </c>
      <c r="D23" s="12">
        <f>COUNTIF(F12:F21,"内")</f>
        <v/>
      </c>
    </row>
    <row r="24"/>
    <row r="26">
      <c r="H26" s="4" t="inlineStr">
        <is>
          <t>▶  半径を動かしてみる</t>
        </is>
      </c>
    </row>
    <row r="27">
      <c r="H27" s="7" t="inlineStr">
        <is>
          <t>C9 を 3 にすると徒歩 3 分圏。圏内の店数が変わる。
→ Uber Eats の配達範囲、ジオフェンス通知の仕組みは全部これ。</t>
        </is>
      </c>
    </row>
    <row r="28"/>
    <row r="29"/>
  </sheetData>
  <mergeCells count="5">
    <mergeCell ref="B4:F7"/>
    <mergeCell ref="H21:H24"/>
    <mergeCell ref="H16:H18"/>
    <mergeCell ref="H10:H13"/>
    <mergeCell ref="H27:H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  <col width="12" customWidth="1" min="5" max="5"/>
    <col width="3" customWidth="1" min="6" max="6"/>
    <col width="52" customWidth="1" min="7" max="7"/>
  </cols>
  <sheetData>
    <row r="1" ht="16" customHeight="1"/>
    <row r="2" ht="30" customHeight="1">
      <c r="B2" s="1" t="inlineStr">
        <is>
          <t>Part 5：距離は「似ている度」</t>
        </is>
      </c>
    </row>
    <row r="3" ht="8" customHeight="1"/>
    <row r="4">
      <c r="B4" s="2" t="inlineStr">
        <is>
          <t>【ストーリー】
4 銘柄に「自分の好み（リスク, リターン）」を重ねて、最も近い銘柄を見つけよう。
軸を変えれば、映画でも音楽でも友達マッチングでも、同じ式で「おすすめ」できる。</t>
        </is>
      </c>
    </row>
    <row r="5"/>
    <row r="6"/>
    <row r="7"/>
    <row r="9">
      <c r="B9" s="11" t="inlineStr">
        <is>
          <t>自分のリスク</t>
        </is>
      </c>
      <c r="C9" s="9" t="n">
        <v>17</v>
      </c>
      <c r="D9" s="11" t="inlineStr">
        <is>
          <t>自分のリターン</t>
        </is>
      </c>
      <c r="E9" s="9" t="n">
        <v>7</v>
      </c>
      <c r="G9" s="4" t="inlineStr">
        <is>
          <t>▶  式の意味を読む</t>
        </is>
      </c>
    </row>
    <row r="10">
      <c r="G10" s="7" t="inlineStr">
        <is>
          <t>E12 = =SQRT((C12-$C$9)^2 + (D12-$E$9)^2)
→ 自分との 2 点間距離（三平方の定理）。
4 銘柄ぶん、すでに E12:E15 に並んでいる。</t>
        </is>
      </c>
    </row>
    <row r="11">
      <c r="B11" s="3" t="inlineStr">
        <is>
          <t>銘柄</t>
        </is>
      </c>
      <c r="C11" s="3" t="inlineStr">
        <is>
          <t>リスク</t>
        </is>
      </c>
      <c r="D11" s="3" t="inlineStr">
        <is>
          <t>リターン</t>
        </is>
      </c>
      <c r="E11" s="3" t="inlineStr">
        <is>
          <t>距離</t>
        </is>
      </c>
    </row>
    <row r="12">
      <c r="B12" s="5" t="inlineStr">
        <is>
          <t>国債</t>
        </is>
      </c>
      <c r="C12" s="6" t="n">
        <v>1</v>
      </c>
      <c r="D12" s="6" t="n">
        <v>0.5</v>
      </c>
      <c r="E12" s="10">
        <f>SQRT((C12-$C$9)^2+(D12-$E$9)^2)</f>
        <v/>
      </c>
    </row>
    <row r="13">
      <c r="B13" s="5" t="inlineStr">
        <is>
          <t>日本株</t>
        </is>
      </c>
      <c r="C13" s="6" t="n">
        <v>15</v>
      </c>
      <c r="D13" s="6" t="n">
        <v>6</v>
      </c>
      <c r="E13" s="10">
        <f>SQRT((C13-$C$9)^2+(D13-$E$9)^2)</f>
        <v/>
      </c>
    </row>
    <row r="14">
      <c r="B14" s="5" t="inlineStr">
        <is>
          <t>新興国株</t>
        </is>
      </c>
      <c r="C14" s="6" t="n">
        <v>35</v>
      </c>
      <c r="D14" s="6" t="n">
        <v>12</v>
      </c>
      <c r="E14" s="10">
        <f>SQRT((C14-$C$9)^2+(D14-$E$9)^2)</f>
        <v/>
      </c>
      <c r="G14" s="4" t="inlineStr">
        <is>
          <t>▶  最短と最近傍を確認</t>
        </is>
      </c>
    </row>
    <row r="15">
      <c r="B15" s="5" t="inlineStr">
        <is>
          <t>暗号資産</t>
        </is>
      </c>
      <c r="C15" s="6" t="n">
        <v>70</v>
      </c>
      <c r="D15" s="6" t="n">
        <v>25</v>
      </c>
      <c r="E15" s="10">
        <f>SQRT((C15-$C$9)^2+(D15-$E$9)^2)</f>
        <v/>
      </c>
      <c r="G15" s="7" t="inlineStr">
        <is>
          <t>D17 = =MIN(E12:E15) で 4 つのうち最小。
D18 = =INDEX(B12:B15, MATCH(D17, E12:E15, 0)) で、その名前。</t>
        </is>
      </c>
    </row>
    <row r="16"/>
    <row r="17">
      <c r="B17" s="11" t="inlineStr">
        <is>
          <t>最短距離</t>
        </is>
      </c>
      <c r="D17" s="10">
        <f>MIN(E12:E15)</f>
        <v/>
      </c>
    </row>
    <row r="18">
      <c r="B18" s="11" t="inlineStr">
        <is>
          <t>最も近い銘柄</t>
        </is>
      </c>
      <c r="D18" s="9">
        <f>INDEX(B12:B15,MATCH(D17,E12:E15,0))</f>
        <v/>
      </c>
    </row>
    <row r="19">
      <c r="G19" s="4" t="inlineStr">
        <is>
          <t>▶  黄色を変えてみる</t>
        </is>
      </c>
    </row>
    <row r="20">
      <c r="G20" s="7" t="inlineStr">
        <is>
          <t>C9（自分のリスク）と E9（自分のリターン）を変える。
→ 4 つの距離も最近傍も連動して変わる。
Netflix のおすすめ、Spotify のレコメンド、原理はぜんぶ同じ。</t>
        </is>
      </c>
    </row>
    <row r="21"/>
    <row r="22"/>
  </sheetData>
  <mergeCells count="4">
    <mergeCell ref="G10:G12"/>
    <mergeCell ref="G15:G17"/>
    <mergeCell ref="G20:G22"/>
    <mergeCell ref="B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52" customWidth="1" min="8" max="8"/>
  </cols>
  <sheetData>
    <row r="1" ht="16" customHeight="1"/>
    <row r="2" ht="30" customHeight="1">
      <c r="B2" s="1" t="inlineStr">
        <is>
          <t>演習問題 ①　基本</t>
        </is>
      </c>
    </row>
    <row r="3" ht="8" customHeight="1"/>
    <row r="4">
      <c r="B4" s="2" t="inlineStr">
        <is>
          <t>黄色セルに式を入れる → ドラッグで広げる → グラフで可視化する。
この 3 つの流れを自分の手で実行する。</t>
        </is>
      </c>
    </row>
    <row r="5"/>
    <row r="6"/>
    <row r="8">
      <c r="B8" s="13" t="inlineStr">
        <is>
          <t xml:space="preserve">  Q1   座標と距離 ／ 自宅からの最寄り施設</t>
        </is>
      </c>
    </row>
    <row r="10">
      <c r="B10" s="14" t="inlineStr">
        <is>
          <t>自宅 (0, 0) から徒歩で行ける施設を 5 つ並べた（単位 100 m）。
各施設までの距離を計算し、散布図で位置関係を可視化する。</t>
        </is>
      </c>
    </row>
    <row r="11"/>
    <row r="12"/>
    <row r="14">
      <c r="B14" s="3" t="inlineStr">
        <is>
          <t>施設</t>
        </is>
      </c>
      <c r="C14" s="3" t="inlineStr">
        <is>
          <t>x</t>
        </is>
      </c>
      <c r="D14" s="3" t="inlineStr">
        <is>
          <t>y</t>
        </is>
      </c>
      <c r="E14" s="3" t="inlineStr">
        <is>
          <t>距離</t>
        </is>
      </c>
      <c r="H14" s="4" t="inlineStr">
        <is>
          <t>▶  黄色を埋める</t>
        </is>
      </c>
    </row>
    <row r="15">
      <c r="B15" s="5" t="inlineStr">
        <is>
          <t>コンビニ</t>
        </is>
      </c>
      <c r="C15" s="6" t="n">
        <v>2</v>
      </c>
      <c r="D15" s="6" t="n">
        <v>1</v>
      </c>
      <c r="E15" s="10">
        <f>SQRT(C15^2+D15^2)</f>
        <v/>
      </c>
      <c r="H15" s="7" t="inlineStr">
        <is>
          <t>① E15 にサンプル式  =SQRT(C15^2+D15^2)  あり。
② E15 のフィルハンドルを E19 まで下へドラッグ。
③ D21・D22 で最近傍と最短距離が自動表示。</t>
        </is>
      </c>
    </row>
    <row r="16">
      <c r="B16" s="5" t="inlineStr">
        <is>
          <t>スーパー</t>
        </is>
      </c>
      <c r="C16" s="6" t="n">
        <v>-3</v>
      </c>
      <c r="D16" s="6" t="n">
        <v>4</v>
      </c>
      <c r="E16" s="10" t="n"/>
    </row>
    <row r="17">
      <c r="B17" s="5" t="inlineStr">
        <is>
          <t>郵便局</t>
        </is>
      </c>
      <c r="C17" s="6" t="n">
        <v>1</v>
      </c>
      <c r="D17" s="6" t="n">
        <v>-3</v>
      </c>
      <c r="E17" s="10" t="n"/>
    </row>
    <row r="18">
      <c r="B18" s="5" t="inlineStr">
        <is>
          <t>クリニック</t>
        </is>
      </c>
      <c r="C18" s="6" t="n">
        <v>4</v>
      </c>
      <c r="D18" s="6" t="n">
        <v>2</v>
      </c>
      <c r="E18" s="10" t="n"/>
    </row>
    <row r="19">
      <c r="B19" s="5" t="inlineStr">
        <is>
          <t>図書館</t>
        </is>
      </c>
      <c r="C19" s="6" t="n">
        <v>-2</v>
      </c>
      <c r="D19" s="6" t="n">
        <v>-2</v>
      </c>
      <c r="E19" s="10" t="n"/>
      <c r="H19" s="4" t="inlineStr">
        <is>
          <t>▶  グラフで可視化（散布図）</t>
        </is>
      </c>
    </row>
    <row r="20">
      <c r="H20" s="7" t="inlineStr">
        <is>
          <t>① C15:D19 を選択 → [挿入] → [グラフ] → 「散布図」。
② [カスタマイズ] → [横軸] 最小 -5、最大 5。[縦軸] も -5〜5。
→ 自宅（原点）の周りに 5 施設が並ぶ。</t>
        </is>
      </c>
    </row>
    <row r="21">
      <c r="B21" s="11" t="inlineStr">
        <is>
          <t>最も近い施設</t>
        </is>
      </c>
      <c r="D21" s="9">
        <f>INDEX(B15:B19,MATCH(MIN(E15:E19),E15:E19,0))</f>
        <v/>
      </c>
    </row>
    <row r="22">
      <c r="B22" s="11" t="inlineStr">
        <is>
          <t>最短距離</t>
        </is>
      </c>
      <c r="D22" s="10">
        <f>MIN(E15:E19)</f>
        <v/>
      </c>
    </row>
    <row r="23"/>
    <row r="26">
      <c r="B26" s="13" t="inlineStr">
        <is>
          <t xml:space="preserve">  Q2   円の方程式 ／ Wi-Fi の電波範囲</t>
        </is>
      </c>
      <c r="H26" s="4" t="inlineStr">
        <is>
          <t>▶  黄色を埋める</t>
        </is>
      </c>
    </row>
    <row r="27">
      <c r="H27" s="7" t="inlineStr">
        <is>
          <t>① E37 にサンプル式（IF 関数で内外判定）あり。
② E37 のフィルハンドルを E41 まで下へドラッグ。
→ 5 つの点が Wi-Fi 圏内か外かが一発で出る。</t>
        </is>
      </c>
    </row>
    <row r="28">
      <c r="B28" s="14" t="inlineStr">
        <is>
          <t>Wi-Fi ルーターを (a, b) に置く。電波が届く半径は r。
中心と半径を変えながら、電波範囲を式で書き、内外判定する。</t>
        </is>
      </c>
    </row>
    <row r="29"/>
    <row r="30"/>
    <row r="31">
      <c r="H31" s="4" t="inlineStr">
        <is>
          <t>▶  グラフで可視化（散布図）</t>
        </is>
      </c>
    </row>
    <row r="32">
      <c r="B32" s="11" t="inlineStr">
        <is>
          <t>中心 a</t>
        </is>
      </c>
      <c r="C32" s="9" t="n">
        <v>3</v>
      </c>
      <c r="E32" s="14" t="inlineStr">
        <is>
          <t>Wi-Fi 範囲を表す方程式：</t>
        </is>
      </c>
      <c r="H32" s="7" t="inlineStr">
        <is>
          <t>① C36:D41 を選択 → [挿入] → [グラフ] → 「散布図」。
② [系列を追加] で C32:C33 を別系列に → ルーターを別色で。
③ [カスタマイズ] → [横軸] [縦軸] とも -2〜10 にすると見やすい。</t>
        </is>
      </c>
    </row>
    <row r="33">
      <c r="B33" s="11" t="inlineStr">
        <is>
          <t>中心 b</t>
        </is>
      </c>
      <c r="C33" s="9" t="n">
        <v>2</v>
      </c>
      <c r="E33" s="9">
        <f>CONCATENATE("(x - ",C32,")² + (y - ",C33,")² = ",C34^2)</f>
        <v/>
      </c>
      <c r="F33" s="15" t="n"/>
    </row>
    <row r="34">
      <c r="B34" s="11" t="inlineStr">
        <is>
          <t>半径 r</t>
        </is>
      </c>
      <c r="C34" s="9" t="n">
        <v>4</v>
      </c>
    </row>
    <row r="35"/>
    <row r="36">
      <c r="B36" s="3" t="inlineStr">
        <is>
          <t>点 P</t>
        </is>
      </c>
      <c r="C36" s="3" t="inlineStr">
        <is>
          <t>x</t>
        </is>
      </c>
      <c r="D36" s="3" t="inlineStr">
        <is>
          <t>y</t>
        </is>
      </c>
      <c r="E36" s="3" t="inlineStr">
        <is>
          <t>判定</t>
        </is>
      </c>
    </row>
    <row r="37">
      <c r="B37" s="5" t="inlineStr">
        <is>
          <t>点 1</t>
        </is>
      </c>
      <c r="C37" s="6" t="n">
        <v>5</v>
      </c>
      <c r="D37" s="6" t="n">
        <v>5</v>
      </c>
      <c r="E37" s="9">
        <f>IF((C37-$C$32)^2+(D37-$C$33)^2&lt;$C$34^2,"内","外")</f>
        <v/>
      </c>
    </row>
    <row r="38">
      <c r="B38" s="5" t="inlineStr">
        <is>
          <t>点 2</t>
        </is>
      </c>
      <c r="C38" s="6" t="n">
        <v>3</v>
      </c>
      <c r="D38" s="6" t="n">
        <v>2</v>
      </c>
      <c r="E38" s="9" t="n"/>
    </row>
    <row r="39">
      <c r="B39" s="5" t="inlineStr">
        <is>
          <t>点 3</t>
        </is>
      </c>
      <c r="C39" s="6" t="n">
        <v>7</v>
      </c>
      <c r="D39" s="6" t="n">
        <v>2</v>
      </c>
      <c r="E39" s="9" t="n"/>
    </row>
    <row r="40">
      <c r="B40" s="5" t="inlineStr">
        <is>
          <t>点 4</t>
        </is>
      </c>
      <c r="C40" s="6" t="n">
        <v>0</v>
      </c>
      <c r="D40" s="6" t="n">
        <v>0</v>
      </c>
      <c r="E40" s="9" t="n"/>
    </row>
    <row r="41">
      <c r="B41" s="5" t="inlineStr">
        <is>
          <t>点 5</t>
        </is>
      </c>
      <c r="C41" s="6" t="n">
        <v>6</v>
      </c>
      <c r="D41" s="6" t="n">
        <v>5</v>
      </c>
      <c r="E41" s="9" t="n"/>
    </row>
  </sheetData>
  <mergeCells count="9">
    <mergeCell ref="H32:H35"/>
    <mergeCell ref="E32:F32"/>
    <mergeCell ref="H15:H17"/>
    <mergeCell ref="E33:F33"/>
    <mergeCell ref="B28:F30"/>
    <mergeCell ref="H20:H23"/>
    <mergeCell ref="H27:H29"/>
    <mergeCell ref="B4:F6"/>
    <mergeCell ref="B10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52" customWidth="1" min="8" max="8"/>
  </cols>
  <sheetData>
    <row r="1" ht="16" customHeight="1"/>
    <row r="2" ht="30" customHeight="1">
      <c r="B2" s="1" t="inlineStr">
        <is>
          <t>演習問題 ②　応用</t>
        </is>
      </c>
    </row>
    <row r="3" ht="8" customHeight="1"/>
    <row r="4">
      <c r="B4" s="2" t="inlineStr">
        <is>
          <t>IF 関数で領域判定、SQRT で多次元距離。
表を関数で埋めて、結果を可視化する。</t>
        </is>
      </c>
    </row>
    <row r="5"/>
    <row r="6"/>
    <row r="8">
      <c r="B8" s="13" t="inlineStr">
        <is>
          <t xml:space="preserve">  Q3   配達エリア ／ ピザ店の出店判定</t>
        </is>
      </c>
    </row>
    <row r="10">
      <c r="B10" s="14" t="inlineStr">
        <is>
          <t>ピザ店 (a, b) を中心に、半径 r km の配達エリアを設定。
10 軒の住所のうち、何軒が配達可能？</t>
        </is>
      </c>
    </row>
    <row r="11"/>
    <row r="12"/>
    <row r="14">
      <c r="B14" s="11" t="inlineStr">
        <is>
          <t>店舗 a</t>
        </is>
      </c>
      <c r="C14" s="9" t="n">
        <v>0</v>
      </c>
      <c r="D14" s="11" t="inlineStr">
        <is>
          <t>店舗 b</t>
        </is>
      </c>
      <c r="E14" s="9" t="n">
        <v>0</v>
      </c>
      <c r="H14" s="4" t="inlineStr">
        <is>
          <t>▶  黄色を埋める</t>
        </is>
      </c>
    </row>
    <row r="15">
      <c r="B15" s="11" t="inlineStr">
        <is>
          <t>配達半径 r</t>
        </is>
      </c>
      <c r="C15" s="9" t="n">
        <v>5</v>
      </c>
      <c r="H15" s="7" t="inlineStr">
        <is>
          <t>① E18:F18 にサンプル式あり（距離 と 配達可能?）。
② E18:F18 を選択 → フィルハンドルを F27 まで下へドラッグ。
③ D29 で配達可能件数を確認。</t>
        </is>
      </c>
    </row>
    <row r="16"/>
    <row r="17">
      <c r="B17" s="3" t="inlineStr">
        <is>
          <t>住所</t>
        </is>
      </c>
      <c r="C17" s="3" t="inlineStr">
        <is>
          <t>x</t>
        </is>
      </c>
      <c r="D17" s="3" t="inlineStr">
        <is>
          <t>y</t>
        </is>
      </c>
      <c r="E17" s="3" t="inlineStr">
        <is>
          <t>距離</t>
        </is>
      </c>
      <c r="F17" s="3" t="inlineStr">
        <is>
          <t>配達可能?</t>
        </is>
      </c>
    </row>
    <row r="18">
      <c r="B18" s="5" t="inlineStr">
        <is>
          <t>住所 1</t>
        </is>
      </c>
      <c r="C18" s="6" t="n">
        <v>1</v>
      </c>
      <c r="D18" s="6" t="n">
        <v>1</v>
      </c>
      <c r="E18" s="10">
        <f>SQRT((C18-$C$14)^2+(D18-$E$14)^2)</f>
        <v/>
      </c>
      <c r="F18" s="9">
        <f>IF(E18&lt;=$C$15,"OK","✗")</f>
        <v/>
      </c>
    </row>
    <row r="19">
      <c r="B19" s="5" t="inlineStr">
        <is>
          <t>住所 2</t>
        </is>
      </c>
      <c r="C19" s="6" t="n">
        <v>3</v>
      </c>
      <c r="D19" s="6" t="n">
        <v>3</v>
      </c>
      <c r="E19" s="10" t="n"/>
      <c r="F19" s="9" t="n"/>
      <c r="H19" s="4" t="inlineStr">
        <is>
          <t>▶  グラフで可視化（散布図）</t>
        </is>
      </c>
    </row>
    <row r="20">
      <c r="B20" s="5" t="inlineStr">
        <is>
          <t>住所 3</t>
        </is>
      </c>
      <c r="C20" s="6" t="n">
        <v>-2</v>
      </c>
      <c r="D20" s="6" t="n">
        <v>4</v>
      </c>
      <c r="E20" s="10" t="n"/>
      <c r="F20" s="9" t="n"/>
      <c r="H20" s="7" t="inlineStr">
        <is>
          <t>① C18:D27 を選択 → [挿入] → [グラフ] → 「散布図」。
② [系列を追加] で C14:E14 を別系列にして店舗を別色で。
③ [横軸] [縦軸] とも -7〜7 に固定すると、配達範囲が見やすい。</t>
        </is>
      </c>
    </row>
    <row r="21">
      <c r="B21" s="5" t="inlineStr">
        <is>
          <t>住所 4</t>
        </is>
      </c>
      <c r="C21" s="6" t="n">
        <v>5</v>
      </c>
      <c r="D21" s="6" t="n">
        <v>-1</v>
      </c>
      <c r="E21" s="10" t="n"/>
      <c r="F21" s="9" t="n"/>
    </row>
    <row r="22">
      <c r="B22" s="5" t="inlineStr">
        <is>
          <t>住所 5</t>
        </is>
      </c>
      <c r="C22" s="6" t="n">
        <v>-3</v>
      </c>
      <c r="D22" s="6" t="n">
        <v>-3</v>
      </c>
      <c r="E22" s="10" t="n"/>
      <c r="F22" s="9" t="n"/>
    </row>
    <row r="23">
      <c r="B23" s="5" t="inlineStr">
        <is>
          <t>住所 6</t>
        </is>
      </c>
      <c r="C23" s="6" t="n">
        <v>6</v>
      </c>
      <c r="D23" s="6" t="n">
        <v>6</v>
      </c>
      <c r="E23" s="10" t="n"/>
      <c r="F23" s="9" t="n"/>
    </row>
    <row r="24">
      <c r="B24" s="5" t="inlineStr">
        <is>
          <t>住所 7</t>
        </is>
      </c>
      <c r="C24" s="6" t="n">
        <v>0</v>
      </c>
      <c r="D24" s="6" t="n">
        <v>-5</v>
      </c>
      <c r="E24" s="10" t="n"/>
      <c r="F24" s="9" t="n"/>
    </row>
    <row r="25">
      <c r="B25" s="5" t="inlineStr">
        <is>
          <t>住所 8</t>
        </is>
      </c>
      <c r="C25" s="6" t="n">
        <v>4</v>
      </c>
      <c r="D25" s="6" t="n">
        <v>2</v>
      </c>
      <c r="E25" s="10" t="n"/>
      <c r="F25" s="9" t="n"/>
      <c r="H25" s="4" t="inlineStr">
        <is>
          <t>▶  半径を動かしてみる</t>
        </is>
      </c>
    </row>
    <row r="26">
      <c r="B26" s="5" t="inlineStr">
        <is>
          <t>住所 9</t>
        </is>
      </c>
      <c r="C26" s="6" t="n">
        <v>-5</v>
      </c>
      <c r="D26" s="6" t="n">
        <v>1</v>
      </c>
      <c r="E26" s="10" t="n"/>
      <c r="F26" s="9" t="n"/>
      <c r="H26" s="7" t="inlineStr">
        <is>
          <t>C15（配達半径）を変えると、配達可能件数が連動して変わる。
ピザ店の経営判断「半径を 1 増やしたら何軒増えるか」が瞬時に答えられる。</t>
        </is>
      </c>
    </row>
    <row r="27">
      <c r="B27" s="5" t="inlineStr">
        <is>
          <t>住所 10</t>
        </is>
      </c>
      <c r="C27" s="6" t="n">
        <v>2</v>
      </c>
      <c r="D27" s="6" t="n">
        <v>-4</v>
      </c>
      <c r="E27" s="10" t="n"/>
      <c r="F27" s="9" t="n"/>
    </row>
    <row r="28"/>
    <row r="29">
      <c r="B29" s="11" t="inlineStr">
        <is>
          <t>配達可能件数</t>
        </is>
      </c>
      <c r="D29" s="12">
        <f>COUNTIF(F18:F27,"OK")</f>
        <v/>
      </c>
    </row>
    <row r="31">
      <c r="B31" s="13" t="inlineStr">
        <is>
          <t xml:space="preserve">  Q4   顔認証 ／ 4 次元の距離</t>
        </is>
      </c>
    </row>
    <row r="33">
      <c r="B33" s="14" t="inlineStr">
        <is>
          <t>顔を 4 つの数（顔幅、目の間隔、鼻の長さ、口の幅）で表す。
登録 3 人と認証したい顔を比較し、最も近い人物を判定。
しきい値 5 以下なら「認証 OK」。</t>
        </is>
      </c>
    </row>
    <row r="34"/>
    <row r="35"/>
    <row r="36"/>
    <row r="38">
      <c r="B38" s="3" t="inlineStr">
        <is>
          <t>人物</t>
        </is>
      </c>
      <c r="C38" s="3" t="inlineStr">
        <is>
          <t>顔幅</t>
        </is>
      </c>
      <c r="D38" s="3" t="inlineStr">
        <is>
          <t>目間</t>
        </is>
      </c>
      <c r="E38" s="3" t="inlineStr">
        <is>
          <t>鼻長</t>
        </is>
      </c>
      <c r="F38" s="3" t="inlineStr">
        <is>
          <t>口幅</t>
        </is>
      </c>
      <c r="H38" s="4" t="inlineStr">
        <is>
          <t>▶  黄色を埋める</t>
        </is>
      </c>
    </row>
    <row r="39">
      <c r="B39" s="5" t="inlineStr">
        <is>
          <t>Sato</t>
        </is>
      </c>
      <c r="C39" s="6" t="n">
        <v>50</v>
      </c>
      <c r="D39" s="6" t="n">
        <v>22</v>
      </c>
      <c r="E39" s="6" t="n">
        <v>14</v>
      </c>
      <c r="F39" s="6" t="n">
        <v>20</v>
      </c>
      <c r="H39" s="7" t="inlineStr">
        <is>
          <t>① C46 にサンプル式（4 次元の距離）あり。
② C46 のフィルハンドルを C48 まで下へドラッグ。
③ D50・D51・D52 で最近傍・距離・判定が自動表示。</t>
        </is>
      </c>
    </row>
    <row r="40">
      <c r="B40" s="5" t="inlineStr">
        <is>
          <t>Tanaka</t>
        </is>
      </c>
      <c r="C40" s="6" t="n">
        <v>56</v>
      </c>
      <c r="D40" s="6" t="n">
        <v>26</v>
      </c>
      <c r="E40" s="6" t="n">
        <v>17</v>
      </c>
      <c r="F40" s="6" t="n">
        <v>23</v>
      </c>
    </row>
    <row r="41">
      <c r="B41" s="5" t="inlineStr">
        <is>
          <t>Suzuki</t>
        </is>
      </c>
      <c r="C41" s="6" t="n">
        <v>42</v>
      </c>
      <c r="D41" s="6" t="n">
        <v>18</v>
      </c>
      <c r="E41" s="6" t="n">
        <v>11</v>
      </c>
      <c r="F41" s="6" t="n">
        <v>17</v>
      </c>
    </row>
    <row r="42"/>
    <row r="43">
      <c r="B43" s="8" t="inlineStr">
        <is>
          <t>認証する顔</t>
        </is>
      </c>
      <c r="C43" s="9" t="n">
        <v>52</v>
      </c>
      <c r="D43" s="9" t="n">
        <v>24</v>
      </c>
      <c r="E43" s="9" t="n">
        <v>15</v>
      </c>
      <c r="F43" s="9" t="n">
        <v>21</v>
      </c>
    </row>
    <row r="44">
      <c r="H44" s="4" t="inlineStr">
        <is>
          <t>▶  黄色を動かしてみる</t>
        </is>
      </c>
    </row>
    <row r="45">
      <c r="B45" s="3" t="inlineStr">
        <is>
          <t>人物</t>
        </is>
      </c>
      <c r="C45" s="3" t="inlineStr">
        <is>
          <t>4 次元距離</t>
        </is>
      </c>
      <c r="H45" s="7" t="inlineStr">
        <is>
          <t>C43:F43（認証する顔）の数値を変えると、判定が変わる。
しきい値 5 を超えると「別人」になる場面も体験する。</t>
        </is>
      </c>
    </row>
    <row r="46">
      <c r="B46" s="5" t="inlineStr">
        <is>
          <t>Sato</t>
        </is>
      </c>
      <c r="C46" s="10">
        <f>SQRT((C39-$C$43)^2+(D39-$D$43)^2+(E39-$E$43)^2+(F39-$F$43)^2)</f>
        <v/>
      </c>
    </row>
    <row r="47">
      <c r="B47" s="5" t="inlineStr">
        <is>
          <t>Tanaka</t>
        </is>
      </c>
      <c r="C47" s="10" t="n"/>
    </row>
    <row r="48">
      <c r="B48" s="5" t="inlineStr">
        <is>
          <t>Suzuki</t>
        </is>
      </c>
      <c r="C48" s="10" t="n"/>
    </row>
    <row r="50">
      <c r="B50" s="11" t="inlineStr">
        <is>
          <t>最近傍</t>
        </is>
      </c>
      <c r="D50" s="9">
        <f>INDEX(B46:B48,MATCH(MIN(C46:C48),C46:C48,0))</f>
        <v/>
      </c>
    </row>
    <row r="51">
      <c r="B51" s="11" t="inlineStr">
        <is>
          <t>最短距離</t>
        </is>
      </c>
      <c r="D51" s="10">
        <f>MIN(C46:C48)</f>
        <v/>
      </c>
    </row>
    <row r="52">
      <c r="B52" s="11" t="inlineStr">
        <is>
          <t>判定（しきい値 5）</t>
        </is>
      </c>
      <c r="D52" s="9">
        <f>IF(D51&lt;=5,"認証 OK","別人")</f>
        <v/>
      </c>
    </row>
  </sheetData>
  <mergeCells count="8">
    <mergeCell ref="H26:H28"/>
    <mergeCell ref="H45:H47"/>
    <mergeCell ref="H39:H42"/>
    <mergeCell ref="H15:H17"/>
    <mergeCell ref="B33:F36"/>
    <mergeCell ref="H20:H23"/>
    <mergeCell ref="B4:F6"/>
    <mergeCell ref="B10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52" customWidth="1" min="8" max="8"/>
  </cols>
  <sheetData>
    <row r="1" ht="16" customHeight="1"/>
    <row r="2" ht="30" customHeight="1">
      <c r="B2" s="1" t="inlineStr">
        <is>
          <t>チャレンジ問題 ①　2 種類の距離を比べる</t>
        </is>
      </c>
    </row>
    <row r="3" ht="8" customHeight="1"/>
    <row r="4">
      <c r="B4" s="2" t="inlineStr">
        <is>
          <t>直線距離（三平方）と 道のり距離（マンハッタン）を計算し、グラフで比較。
「測り方」によって距離が変わることを、表とグラフの両方で確認する。</t>
        </is>
      </c>
    </row>
    <row r="5"/>
    <row r="6"/>
    <row r="8">
      <c r="B8" s="13" t="inlineStr">
        <is>
          <t xml:space="preserve">  Q5   直線距離 vs 道のり距離</t>
        </is>
      </c>
      <c r="H8" s="4" t="inlineStr">
        <is>
          <t>▶  式の意味を読む</t>
        </is>
      </c>
    </row>
    <row r="9">
      <c r="H9" s="7" t="inlineStr">
        <is>
          <t>直線距離 = √(dx² + dy²)
マンハッタン距離 = |dx| + |dy|
碁盤目の街では、道のり ≧ 直線（等しいのは縦・横方向だけ）。</t>
        </is>
      </c>
    </row>
    <row r="10">
      <c r="B10" s="14" t="inlineStr">
        <is>
          <t>家 (0, 0) から職場 (3, 4) に行く 2 通り：
  ① ドローンで直線（斜め）
  ② 街の格子状の道路を「東に 3、北に 4」と歩く（マンハッタン距離）</t>
        </is>
      </c>
    </row>
    <row r="11"/>
    <row r="12"/>
    <row r="13"/>
    <row r="14">
      <c r="H14" s="4" t="inlineStr">
        <is>
          <t>▶  黄色を埋める</t>
        </is>
      </c>
    </row>
    <row r="15">
      <c r="H15" s="7" t="inlineStr">
        <is>
          <t>① E27:F27 にサンプル式あり。
② E27:F27 を選択 → フィルハンドルを F31 まで下へドラッグ。
→ 5 駅ぶんの 2 種類の距離が並ぶ。</t>
        </is>
      </c>
    </row>
    <row r="16">
      <c r="B16" s="3" t="inlineStr">
        <is>
          <t>点</t>
        </is>
      </c>
      <c r="C16" s="3" t="inlineStr">
        <is>
          <t>x</t>
        </is>
      </c>
      <c r="D16" s="3" t="inlineStr">
        <is>
          <t>y</t>
        </is>
      </c>
    </row>
    <row r="17">
      <c r="B17" s="5" t="inlineStr">
        <is>
          <t>家</t>
        </is>
      </c>
      <c r="C17" s="6" t="n">
        <v>0</v>
      </c>
      <c r="D17" s="6" t="n">
        <v>0</v>
      </c>
    </row>
    <row r="18">
      <c r="B18" s="5" t="inlineStr">
        <is>
          <t>職場</t>
        </is>
      </c>
      <c r="C18" s="6" t="n">
        <v>3</v>
      </c>
      <c r="D18" s="6" t="n">
        <v>4</v>
      </c>
    </row>
    <row r="19">
      <c r="H19" s="4" t="inlineStr">
        <is>
          <t>▶  グラフで可視化（縦棒グラフ）</t>
        </is>
      </c>
    </row>
    <row r="20">
      <c r="H20" s="7" t="inlineStr">
        <is>
          <t>① B26:F31 を選択 → [挿入] → [グラフ]。
② グラフの種類を「縦棒グラフ」 or 「縦棒（積み上げなし）」に。
→ 各駅の「直線」と「道のり」が並んで比較できる。</t>
        </is>
      </c>
    </row>
    <row r="21">
      <c r="B21" s="11" t="inlineStr">
        <is>
          <t>① 直線距離</t>
        </is>
      </c>
      <c r="D21" s="10">
        <f>SQRT((C18-C17)^2+(D18-D17)^2)</f>
        <v/>
      </c>
    </row>
    <row r="22">
      <c r="B22" s="11" t="inlineStr">
        <is>
          <t>② 道のり距離</t>
        </is>
      </c>
      <c r="D22" s="10">
        <f>ABS(C18-C17)+ABS(D18-D17)</f>
        <v/>
      </c>
    </row>
    <row r="23">
      <c r="B23" s="11" t="inlineStr">
        <is>
          <t>③ 比率（道のり/直線）</t>
        </is>
      </c>
      <c r="D23" s="10">
        <f>D22/D21</f>
        <v/>
      </c>
    </row>
    <row r="25">
      <c r="H25" s="4" t="inlineStr">
        <is>
          <t>▶  比率に注目</t>
        </is>
      </c>
    </row>
    <row r="26">
      <c r="B26" s="3" t="inlineStr">
        <is>
          <t>目的地</t>
        </is>
      </c>
      <c r="C26" s="3" t="inlineStr">
        <is>
          <t>x</t>
        </is>
      </c>
      <c r="D26" s="3" t="inlineStr">
        <is>
          <t>y</t>
        </is>
      </c>
      <c r="E26" s="3" t="inlineStr">
        <is>
          <t>直線</t>
        </is>
      </c>
      <c r="F26" s="3" t="inlineStr">
        <is>
          <t>道のり</t>
        </is>
      </c>
      <c r="H26" s="7" t="inlineStr">
        <is>
          <t>D23 で比率（道のり ÷ 直線）。
・真東/真北 → 1.0
・斜め 45° → 約 1.41（√2）
軸の取り方や経路で「距離」の意味が変わる。</t>
        </is>
      </c>
    </row>
    <row r="27">
      <c r="B27" s="5" t="inlineStr">
        <is>
          <t>A 駅</t>
        </is>
      </c>
      <c r="C27" s="6" t="n">
        <v>5</v>
      </c>
      <c r="D27" s="6" t="n">
        <v>0</v>
      </c>
      <c r="E27" s="10">
        <f>SQRT(C27^2+D27^2)</f>
        <v/>
      </c>
      <c r="F27" s="10">
        <f>ABS(C27)+ABS(D27)</f>
        <v/>
      </c>
    </row>
    <row r="28">
      <c r="B28" s="5" t="inlineStr">
        <is>
          <t>B 駅</t>
        </is>
      </c>
      <c r="C28" s="6" t="n">
        <v>0</v>
      </c>
      <c r="D28" s="6" t="n">
        <v>5</v>
      </c>
      <c r="E28" s="10" t="n"/>
      <c r="F28" s="10" t="n"/>
    </row>
    <row r="29">
      <c r="B29" s="5" t="inlineStr">
        <is>
          <t>C 駅</t>
        </is>
      </c>
      <c r="C29" s="6" t="n">
        <v>3</v>
      </c>
      <c r="D29" s="6" t="n">
        <v>4</v>
      </c>
      <c r="E29" s="10" t="n"/>
      <c r="F29" s="10" t="n"/>
    </row>
    <row r="30">
      <c r="B30" s="5" t="inlineStr">
        <is>
          <t>D 駅</t>
        </is>
      </c>
      <c r="C30" s="6" t="n">
        <v>5</v>
      </c>
      <c r="D30" s="6" t="n">
        <v>5</v>
      </c>
      <c r="E30" s="10" t="n"/>
      <c r="F30" s="10" t="n"/>
    </row>
    <row r="31">
      <c r="B31" s="5" t="inlineStr">
        <is>
          <t>E 駅</t>
        </is>
      </c>
      <c r="C31" s="6" t="n">
        <v>4</v>
      </c>
      <c r="D31" s="6" t="n">
        <v>4</v>
      </c>
      <c r="E31" s="10" t="n"/>
      <c r="F31" s="10" t="n"/>
    </row>
  </sheetData>
  <mergeCells count="6">
    <mergeCell ref="H26:H28"/>
    <mergeCell ref="H15:H17"/>
    <mergeCell ref="B10:F13"/>
    <mergeCell ref="H20:H23"/>
    <mergeCell ref="H9:H12"/>
    <mergeCell ref="B4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3" customWidth="1" min="7" max="7"/>
    <col width="52" customWidth="1" min="8" max="8"/>
  </cols>
  <sheetData>
    <row r="1" ht="16" customHeight="1"/>
    <row r="2" ht="30" customHeight="1">
      <c r="B2" s="1" t="inlineStr">
        <is>
          <t>チャレンジ問題 ②　カフェの最適立地</t>
        </is>
      </c>
    </row>
    <row r="3" ht="8" customHeight="1"/>
    <row r="4">
      <c r="B4" s="2" t="inlineStr">
        <is>
          <t>5 軒の常連顧客がすでに地図上にいる。新しいカフェをどこに置けば、
5 人の通勤距離の合計が最小になる？
店舗の x, y を動かしながら、最小値を「手で」探す。</t>
        </is>
      </c>
    </row>
    <row r="5"/>
    <row r="6"/>
    <row r="7"/>
    <row r="9">
      <c r="B9" s="13" t="inlineStr">
        <is>
          <t xml:space="preserve">  Q6   5 人の常連の重心を探せ</t>
        </is>
      </c>
      <c r="H9" s="4" t="inlineStr">
        <is>
          <t>▶  黄色 D12, D13 を動かす</t>
        </is>
      </c>
    </row>
    <row r="10">
      <c r="H10" s="7" t="inlineStr">
        <is>
          <t>店舗の (D12, D13)。最初は (0, 0)。
総距離（D15）は 5 人それぞれの距離の合計。
D12, D13 を 1 ずつ変えると、D15 が動く。</t>
        </is>
      </c>
    </row>
    <row r="11"/>
    <row r="12">
      <c r="B12" s="11" t="inlineStr">
        <is>
          <t>店舗の x（入力）</t>
        </is>
      </c>
      <c r="D12" s="9" t="n">
        <v>0</v>
      </c>
    </row>
    <row r="13">
      <c r="B13" s="11" t="inlineStr">
        <is>
          <t>店舗の y（入力）</t>
        </is>
      </c>
      <c r="D13" s="9" t="n">
        <v>0</v>
      </c>
    </row>
    <row r="15">
      <c r="B15" s="16" t="inlineStr">
        <is>
          <t>5 人の総距離（自動）</t>
        </is>
      </c>
      <c r="D15" s="10">
        <f>SUM(F19:F23)</f>
        <v/>
      </c>
      <c r="H15" s="4" t="inlineStr">
        <is>
          <t>▶  総距離が小さくなる方向を探す</t>
        </is>
      </c>
    </row>
    <row r="16">
      <c r="H16" s="7" t="inlineStr">
        <is>
          <t>D15 が減れば続行、増えたら戻る。
x と y を交互に試行錯誤すると速い。
5 人の重心 (D25, F25) を D12, D13 にコピーすると、近い値になる。</t>
        </is>
      </c>
    </row>
    <row r="17"/>
    <row r="18">
      <c r="B18" s="3" t="inlineStr">
        <is>
          <t>顧客</t>
        </is>
      </c>
      <c r="C18" s="3" t="inlineStr">
        <is>
          <t>x</t>
        </is>
      </c>
      <c r="D18" s="3" t="inlineStr">
        <is>
          <t>y</t>
        </is>
      </c>
      <c r="E18" s="3" t="inlineStr">
        <is>
          <t>距離²</t>
        </is>
      </c>
      <c r="F18" s="3" t="inlineStr">
        <is>
          <t>距離</t>
        </is>
      </c>
    </row>
    <row r="19">
      <c r="B19" s="5" t="inlineStr">
        <is>
          <t>A さん</t>
        </is>
      </c>
      <c r="C19" s="6" t="n">
        <v>3</v>
      </c>
      <c r="D19" s="6" t="n">
        <v>4</v>
      </c>
      <c r="E19" s="10">
        <f>(C19-$D$12)^2+(D19-$D$13)^2</f>
        <v/>
      </c>
      <c r="F19" s="10">
        <f>SQRT(E19)</f>
        <v/>
      </c>
    </row>
    <row r="20">
      <c r="B20" s="5" t="inlineStr">
        <is>
          <t>B さん</t>
        </is>
      </c>
      <c r="C20" s="6" t="n">
        <v>-2</v>
      </c>
      <c r="D20" s="6" t="n">
        <v>5</v>
      </c>
      <c r="E20" s="10">
        <f>(C20-$D$12)^2+(D20-$D$13)^2</f>
        <v/>
      </c>
      <c r="F20" s="10">
        <f>SQRT(E20)</f>
        <v/>
      </c>
    </row>
    <row r="21">
      <c r="B21" s="5" t="inlineStr">
        <is>
          <t>C さん</t>
        </is>
      </c>
      <c r="C21" s="6" t="n">
        <v>7</v>
      </c>
      <c r="D21" s="6" t="n">
        <v>-3</v>
      </c>
      <c r="E21" s="10">
        <f>(C21-$D$12)^2+(D21-$D$13)^2</f>
        <v/>
      </c>
      <c r="F21" s="10">
        <f>SQRT(E21)</f>
        <v/>
      </c>
      <c r="H21" s="4" t="inlineStr">
        <is>
          <t>▶  グラフで可視化（散布図）</t>
        </is>
      </c>
    </row>
    <row r="22">
      <c r="B22" s="5" t="inlineStr">
        <is>
          <t>D さん</t>
        </is>
      </c>
      <c r="C22" s="6" t="n">
        <v>-5</v>
      </c>
      <c r="D22" s="6" t="n">
        <v>-2</v>
      </c>
      <c r="E22" s="10">
        <f>(C22-$D$12)^2+(D22-$D$13)^2</f>
        <v/>
      </c>
      <c r="F22" s="10">
        <f>SQRT(E22)</f>
        <v/>
      </c>
      <c r="H22" s="7" t="inlineStr">
        <is>
          <t>① C19:D23 を選択 → [挿入] → [グラフ] → 「散布図」。
② [系列を追加] → 範囲 D12:D13（店舗の点を別色で）。
③ [横軸] [縦軸] とも -8〜10 に固定。
→ 店舗の (D12, D13) を動かすと、グラフの点も動く。</t>
        </is>
      </c>
    </row>
    <row r="23">
      <c r="B23" s="5" t="inlineStr">
        <is>
          <t>E さん</t>
        </is>
      </c>
      <c r="C23" s="6" t="n">
        <v>1</v>
      </c>
      <c r="D23" s="6" t="n">
        <v>8</v>
      </c>
      <c r="E23" s="10">
        <f>(C23-$D$12)^2+(D23-$D$13)^2</f>
        <v/>
      </c>
      <c r="F23" s="10">
        <f>SQRT(E23)</f>
        <v/>
      </c>
    </row>
    <row r="24"/>
    <row r="25">
      <c r="B25" s="17" t="inlineStr">
        <is>
          <t>＜参考＞ 5 人の重心</t>
        </is>
      </c>
      <c r="C25" s="17" t="inlineStr">
        <is>
          <t>x</t>
        </is>
      </c>
      <c r="D25" s="10">
        <f>AVERAGE(C19:C23)</f>
        <v/>
      </c>
      <c r="E25" s="17" t="inlineStr">
        <is>
          <t>y</t>
        </is>
      </c>
      <c r="F25" s="10">
        <f>AVERAGE(D19:D23)</f>
        <v/>
      </c>
    </row>
    <row r="26"/>
  </sheetData>
  <mergeCells count="4">
    <mergeCell ref="H16:H19"/>
    <mergeCell ref="B4:F7"/>
    <mergeCell ref="H10:H13"/>
    <mergeCell ref="H22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2026-04-26T12:20:09Z</dcterms:created>
  <dcterms:modified xmlns:dcterms="http://purl.org/dc/terms/" xmlns:xsi="http://www.w3.org/2001/XMLSchema-instance" xsi:type="dcterms:W3CDTF">2026-04-26T12:20:09Z</dcterms:modified>
</cp:coreProperties>
</file>